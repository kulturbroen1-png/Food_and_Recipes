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BFH\FM-enheden\FM Service\FM Køkkenet BBH\Bæredygtighedssekretariatet\03 Data\Data til Power Bi\"/>
    </mc:Choice>
  </mc:AlternateContent>
  <xr:revisionPtr revIDLastSave="0" documentId="13_ncr:1_{2252909A-054D-4040-86D6-7272D6C920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isudvikling" sheetId="1" r:id="rId1"/>
    <sheet name="Ark3" sheetId="3" r:id="rId2"/>
  </sheets>
  <definedNames>
    <definedName name="_xlnm.Print_Titles" localSheetId="0">Prisudvikling!$1:$1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2" i="1" l="1"/>
  <c r="E23" i="1"/>
  <c r="E24" i="1"/>
  <c r="E25" i="1"/>
  <c r="E17" i="1" l="1"/>
  <c r="E18" i="1"/>
  <c r="E12" i="1"/>
  <c r="E10" i="1"/>
  <c r="E9" i="1"/>
  <c r="E8" i="1"/>
  <c r="E26" i="1" l="1"/>
  <c r="E21" i="1"/>
  <c r="E20" i="1"/>
  <c r="E19" i="1"/>
  <c r="E16" i="1"/>
  <c r="E15" i="1"/>
  <c r="E14" i="1"/>
  <c r="E13" i="1"/>
  <c r="E11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<sst xmlns="http://schemas.openxmlformats.org/spreadsheetml/2006/main" count="55" uniqueCount="35">
  <si>
    <t>Varegruppe</t>
  </si>
  <si>
    <t>Brød og kornprodukter</t>
  </si>
  <si>
    <t>Kød</t>
  </si>
  <si>
    <t>Svinekød</t>
  </si>
  <si>
    <t>Fjerkræ</t>
  </si>
  <si>
    <t>Forarbejdede kødvarer</t>
  </si>
  <si>
    <t>Mælk, ost og æg</t>
  </si>
  <si>
    <t>Mælk</t>
  </si>
  <si>
    <t>Ost</t>
  </si>
  <si>
    <t>Æg</t>
  </si>
  <si>
    <t>Smør, specialolier og margarine</t>
  </si>
  <si>
    <t>Frugt</t>
  </si>
  <si>
    <t>Grøntsager</t>
  </si>
  <si>
    <t>Sukkervarer, marmelade og Chokolade</t>
  </si>
  <si>
    <t>Kaffe</t>
  </si>
  <si>
    <t>The</t>
  </si>
  <si>
    <t>Sodavand, mineralvand og juice</t>
  </si>
  <si>
    <t>Alle fødevarer</t>
  </si>
  <si>
    <t>Forskel i %</t>
  </si>
  <si>
    <t>Andre mælkeprodukter</t>
  </si>
  <si>
    <t>Friske grøntsager</t>
  </si>
  <si>
    <t>Frosne grøntsager</t>
  </si>
  <si>
    <t>Oksekød og kalvekød</t>
  </si>
  <si>
    <t>Lammekød og gedekød</t>
  </si>
  <si>
    <t>Fisk, fersk</t>
  </si>
  <si>
    <t>Fisk, frossen</t>
  </si>
  <si>
    <t>Skaldyr, frossen</t>
  </si>
  <si>
    <t>Kartofler og kartoffelprodukter</t>
  </si>
  <si>
    <t>Yoghurt</t>
  </si>
  <si>
    <t>Frugt, frisk</t>
  </si>
  <si>
    <t>Frugt, frossen</t>
  </si>
  <si>
    <t>Fisk og skaldyr</t>
  </si>
  <si>
    <t>Juli 2025</t>
  </si>
  <si>
    <t>Juli 2021</t>
  </si>
  <si>
    <t>Kategori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</si>
</sst>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4"/>
      <color indexed="8"/>
      <name val="Calibri"/>
      <family val="2"/>
    </font>
    <font>
      <sz val="12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0" xfId="0" applyFont="1"/>
    <xf numFmtId="49" fontId="2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wrapText="1"/>
    </xf>
    <xf numFmtId="164" fontId="1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wrapText="1"/>
    </xf>
    <xf numFmtId="164" fontId="3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wrapText="1"/>
    </xf>
    <xf numFmtId="164" fontId="1" fillId="2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topLeftCell="A4" workbookViewId="0">
      <selection activeCell="C16" sqref="C16"/>
    </sheetView>
  </sheetViews>
  <sheetFormatPr defaultRowHeight="15" x14ac:dyDescent="0.25"/>
  <cols>
    <col min="1" max="1" width="29.140625" customWidth="1"/>
    <col min="2" max="2" width="29" bestFit="1" customWidth="1"/>
    <col min="3" max="3" width="18.140625" customWidth="1"/>
    <col min="4" max="4" width="17.85546875" customWidth="1"/>
    <col min="5" max="5" width="13.5703125" bestFit="1" customWidth="1"/>
  </cols>
  <sheetData>
    <row r="1" spans="1:6" ht="17.100000000000001" customHeight="1" x14ac:dyDescent="0.3">
      <c r="A1" t="s">
        <v>34</v>
      </c>
      <c r="B1" s="1" t="s">
        <v>0</v>
      </c>
      <c r="C1" s="5" t="s">
        <v>33</v>
      </c>
      <c r="D1" s="5" t="s">
        <v>32</v>
      </c>
      <c r="E1" s="3" t="s">
        <v>18</v>
      </c>
    </row>
    <row r="2" spans="1:6" s="4" customFormat="1" ht="17.100000000000001" customHeight="1" x14ac:dyDescent="0.25">
      <c r="A2" s="2" t="s">
        <v>1</v>
      </c>
      <c r="B2" s="2" t="s">
        <v>1</v>
      </c>
      <c r="C2" s="7">
        <v>105.7</v>
      </c>
      <c r="D2" s="7">
        <v>137</v>
      </c>
      <c r="E2" s="7">
        <f>+(-C2+D2)*100/C2</f>
        <v>29.612109744560069</v>
      </c>
      <c r="F2"/>
    </row>
    <row r="3" spans="1:6" s="4" customFormat="1" ht="17.100000000000001" customHeight="1" x14ac:dyDescent="0.25">
      <c r="A3" s="6" t="s">
        <v>2</v>
      </c>
      <c r="B3" s="8" t="s">
        <v>22</v>
      </c>
      <c r="C3" s="9">
        <v>104</v>
      </c>
      <c r="D3" s="9">
        <v>153.4</v>
      </c>
      <c r="E3" s="9">
        <f t="shared" ref="E3:E7" si="0">+(-C3+D3)*100/C3</f>
        <v>47.500000000000007</v>
      </c>
    </row>
    <row r="4" spans="1:6" s="4" customFormat="1" ht="17.100000000000001" customHeight="1" x14ac:dyDescent="0.25">
      <c r="A4" s="6" t="s">
        <v>2</v>
      </c>
      <c r="B4" s="8" t="s">
        <v>3</v>
      </c>
      <c r="C4" s="9">
        <v>104.6</v>
      </c>
      <c r="D4" s="9">
        <v>121.9</v>
      </c>
      <c r="E4" s="9">
        <f t="shared" si="0"/>
        <v>16.53919694072659</v>
      </c>
    </row>
    <row r="5" spans="1:6" s="4" customFormat="1" ht="17.100000000000001" customHeight="1" x14ac:dyDescent="0.25">
      <c r="A5" s="6" t="s">
        <v>2</v>
      </c>
      <c r="B5" s="8" t="s">
        <v>23</v>
      </c>
      <c r="C5" s="9">
        <v>113.8</v>
      </c>
      <c r="D5" s="9">
        <v>142.1</v>
      </c>
      <c r="E5" s="9">
        <f t="shared" si="0"/>
        <v>24.86818980667838</v>
      </c>
      <c r="F5"/>
    </row>
    <row r="6" spans="1:6" s="4" customFormat="1" ht="17.100000000000001" customHeight="1" x14ac:dyDescent="0.25">
      <c r="A6" s="6" t="s">
        <v>2</v>
      </c>
      <c r="B6" s="8" t="s">
        <v>4</v>
      </c>
      <c r="C6" s="9">
        <v>93.4</v>
      </c>
      <c r="D6" s="9">
        <v>119.6</v>
      </c>
      <c r="E6" s="9">
        <f t="shared" si="0"/>
        <v>28.051391862955022</v>
      </c>
    </row>
    <row r="7" spans="1:6" s="4" customFormat="1" ht="17.100000000000001" customHeight="1" x14ac:dyDescent="0.25">
      <c r="A7" s="6" t="s">
        <v>2</v>
      </c>
      <c r="B7" s="8" t="s">
        <v>5</v>
      </c>
      <c r="C7" s="9">
        <v>109.5</v>
      </c>
      <c r="D7" s="9">
        <v>133.80000000000001</v>
      </c>
      <c r="E7" s="9">
        <f t="shared" si="0"/>
        <v>22.191780821917817</v>
      </c>
    </row>
    <row r="8" spans="1:6" s="4" customFormat="1" ht="17.100000000000001" customHeight="1" x14ac:dyDescent="0.25">
      <c r="A8" s="6" t="s">
        <v>31</v>
      </c>
      <c r="B8" s="8" t="s">
        <v>24</v>
      </c>
      <c r="C8" s="9">
        <v>117.1</v>
      </c>
      <c r="D8" s="9">
        <v>156.6</v>
      </c>
      <c r="E8" s="9">
        <f>+(-C8+D8)*100/C8</f>
        <v>33.731853116994024</v>
      </c>
    </row>
    <row r="9" spans="1:6" s="4" customFormat="1" ht="17.100000000000001" customHeight="1" x14ac:dyDescent="0.25">
      <c r="A9" s="6" t="s">
        <v>31</v>
      </c>
      <c r="B9" s="8" t="s">
        <v>25</v>
      </c>
      <c r="C9" s="9">
        <v>106.7</v>
      </c>
      <c r="D9" s="9">
        <v>121.3</v>
      </c>
      <c r="E9" s="9">
        <f>+(-C9+D9)*100/C9</f>
        <v>13.683223992502338</v>
      </c>
    </row>
    <row r="10" spans="1:6" s="4" customFormat="1" ht="17.100000000000001" customHeight="1" x14ac:dyDescent="0.25">
      <c r="A10" s="6" t="s">
        <v>31</v>
      </c>
      <c r="B10" s="8" t="s">
        <v>26</v>
      </c>
      <c r="C10" s="9">
        <v>85.9</v>
      </c>
      <c r="D10" s="9">
        <v>110.7</v>
      </c>
      <c r="E10" s="9">
        <f>+(-C10+D10)*100/C10</f>
        <v>28.870779976717106</v>
      </c>
    </row>
    <row r="11" spans="1:6" s="4" customFormat="1" ht="17.100000000000001" customHeight="1" x14ac:dyDescent="0.25">
      <c r="A11" s="6" t="s">
        <v>6</v>
      </c>
      <c r="B11" s="8" t="s">
        <v>7</v>
      </c>
      <c r="C11" s="9">
        <v>144.19999999999999</v>
      </c>
      <c r="D11" s="9">
        <v>198.5</v>
      </c>
      <c r="E11" s="9">
        <f t="shared" ref="E11:E15" si="1">+(-C11+D11)*100/C11</f>
        <v>37.656033287101259</v>
      </c>
    </row>
    <row r="12" spans="1:6" s="4" customFormat="1" ht="17.100000000000001" customHeight="1" x14ac:dyDescent="0.25">
      <c r="A12" s="6" t="s">
        <v>6</v>
      </c>
      <c r="B12" s="8" t="s">
        <v>28</v>
      </c>
      <c r="C12" s="9">
        <v>104.4</v>
      </c>
      <c r="D12" s="9">
        <v>131.19999999999999</v>
      </c>
      <c r="E12" s="9">
        <f t="shared" si="1"/>
        <v>25.670498084291168</v>
      </c>
    </row>
    <row r="13" spans="1:6" s="4" customFormat="1" ht="17.100000000000001" customHeight="1" x14ac:dyDescent="0.25">
      <c r="A13" s="6" t="s">
        <v>6</v>
      </c>
      <c r="B13" s="8" t="s">
        <v>19</v>
      </c>
      <c r="C13" s="9">
        <v>102.5</v>
      </c>
      <c r="D13" s="9">
        <v>149.30000000000001</v>
      </c>
      <c r="E13" s="9">
        <f t="shared" si="1"/>
        <v>45.658536585365866</v>
      </c>
    </row>
    <row r="14" spans="1:6" s="4" customFormat="1" ht="17.100000000000001" customHeight="1" x14ac:dyDescent="0.25">
      <c r="A14" s="6" t="s">
        <v>6</v>
      </c>
      <c r="B14" s="8" t="s">
        <v>8</v>
      </c>
      <c r="C14" s="9">
        <v>100.5</v>
      </c>
      <c r="D14" s="9">
        <v>146</v>
      </c>
      <c r="E14" s="9">
        <f>+(-C14+D14)*100/C14</f>
        <v>45.273631840796021</v>
      </c>
    </row>
    <row r="15" spans="1:6" s="4" customFormat="1" ht="17.100000000000001" customHeight="1" x14ac:dyDescent="0.25">
      <c r="A15" s="6" t="s">
        <v>6</v>
      </c>
      <c r="B15" s="8" t="s">
        <v>9</v>
      </c>
      <c r="C15" s="9">
        <v>94.6</v>
      </c>
      <c r="D15" s="9">
        <v>133.4</v>
      </c>
      <c r="E15" s="9">
        <f t="shared" si="1"/>
        <v>41.01479915433405</v>
      </c>
    </row>
    <row r="16" spans="1:6" s="4" customFormat="1" ht="32.25" customHeight="1" x14ac:dyDescent="0.25">
      <c r="A16" s="6" t="s">
        <v>10</v>
      </c>
      <c r="B16" s="6" t="s">
        <v>10</v>
      </c>
      <c r="C16" s="7">
        <v>122.6</v>
      </c>
      <c r="D16" s="7">
        <v>186.9</v>
      </c>
      <c r="E16" s="7">
        <f>+(-C16+D16)*100/C16</f>
        <v>52.446982055464936</v>
      </c>
    </row>
    <row r="17" spans="1:7" s="4" customFormat="1" ht="17.100000000000001" customHeight="1" x14ac:dyDescent="0.25">
      <c r="A17" s="6" t="s">
        <v>11</v>
      </c>
      <c r="B17" s="8" t="s">
        <v>29</v>
      </c>
      <c r="C17" s="9">
        <v>118.9</v>
      </c>
      <c r="D17" s="9">
        <v>137.5</v>
      </c>
      <c r="E17" s="9">
        <f t="shared" ref="E17:E18" si="2">+(-C17+D17)*100/C17</f>
        <v>15.643397813288473</v>
      </c>
    </row>
    <row r="18" spans="1:7" s="4" customFormat="1" ht="17.100000000000001" customHeight="1" x14ac:dyDescent="0.25">
      <c r="A18" s="6" t="s">
        <v>11</v>
      </c>
      <c r="B18" s="8" t="s">
        <v>30</v>
      </c>
      <c r="C18" s="9">
        <v>102.6</v>
      </c>
      <c r="D18" s="9">
        <v>130.9</v>
      </c>
      <c r="E18" s="9">
        <f t="shared" si="2"/>
        <v>27.582846003898645</v>
      </c>
    </row>
    <row r="19" spans="1:7" s="4" customFormat="1" ht="17.100000000000001" customHeight="1" x14ac:dyDescent="0.25">
      <c r="A19" s="6" t="s">
        <v>12</v>
      </c>
      <c r="B19" s="8" t="s">
        <v>20</v>
      </c>
      <c r="C19" s="9">
        <v>110.6</v>
      </c>
      <c r="D19" s="9">
        <v>137.5</v>
      </c>
      <c r="E19" s="7">
        <f>+(-C19+D19)*100/C19</f>
        <v>24.321880650994579</v>
      </c>
    </row>
    <row r="20" spans="1:7" s="4" customFormat="1" ht="17.100000000000001" customHeight="1" x14ac:dyDescent="0.25">
      <c r="A20" s="6" t="s">
        <v>12</v>
      </c>
      <c r="B20" s="8" t="s">
        <v>27</v>
      </c>
      <c r="C20" s="9">
        <v>106.9</v>
      </c>
      <c r="D20" s="9">
        <v>146.9</v>
      </c>
      <c r="E20" s="7">
        <f>+(-C20+D20)*100/C20</f>
        <v>37.418147801683816</v>
      </c>
    </row>
    <row r="21" spans="1:7" s="4" customFormat="1" ht="17.100000000000001" customHeight="1" x14ac:dyDescent="0.25">
      <c r="A21" s="6" t="s">
        <v>12</v>
      </c>
      <c r="B21" s="8" t="s">
        <v>21</v>
      </c>
      <c r="C21" s="9">
        <v>95.3</v>
      </c>
      <c r="D21" s="9">
        <v>118.2</v>
      </c>
      <c r="E21" s="7">
        <f>+(-C21+D21)*100/C21</f>
        <v>24.029380902413436</v>
      </c>
      <c r="G21"/>
    </row>
    <row r="22" spans="1:7" s="4" customFormat="1" ht="35.25" customHeight="1" x14ac:dyDescent="0.25">
      <c r="A22" s="6" t="s">
        <v>13</v>
      </c>
      <c r="B22" s="6" t="s">
        <v>13</v>
      </c>
      <c r="C22" s="7">
        <v>103.4</v>
      </c>
      <c r="D22" s="7">
        <v>139.80000000000001</v>
      </c>
      <c r="E22" s="7">
        <f>+(-C22+D22)*100/C22</f>
        <v>35.203094777562868</v>
      </c>
    </row>
    <row r="23" spans="1:7" s="4" customFormat="1" ht="17.100000000000001" customHeight="1" x14ac:dyDescent="0.25">
      <c r="A23" s="6" t="s">
        <v>14</v>
      </c>
      <c r="B23" s="6" t="s">
        <v>14</v>
      </c>
      <c r="C23" s="7">
        <v>96.6</v>
      </c>
      <c r="D23" s="7">
        <v>167.3</v>
      </c>
      <c r="E23" s="7">
        <f>+(-C23+D23)*100/C23</f>
        <v>73.188405797101467</v>
      </c>
    </row>
    <row r="24" spans="1:7" s="4" customFormat="1" ht="17.100000000000001" customHeight="1" x14ac:dyDescent="0.25">
      <c r="A24" s="6" t="s">
        <v>15</v>
      </c>
      <c r="B24" s="6" t="s">
        <v>15</v>
      </c>
      <c r="C24" s="7">
        <v>92.3</v>
      </c>
      <c r="D24" s="7">
        <v>100.5</v>
      </c>
      <c r="E24" s="7">
        <f>+(-C24+D24)*100/C24</f>
        <v>8.8840736728060694</v>
      </c>
    </row>
    <row r="25" spans="1:7" s="4" customFormat="1" ht="35.25" customHeight="1" x14ac:dyDescent="0.25">
      <c r="A25" s="6" t="s">
        <v>16</v>
      </c>
      <c r="B25" s="6" t="s">
        <v>16</v>
      </c>
      <c r="C25" s="7">
        <v>100.1</v>
      </c>
      <c r="D25" s="7">
        <v>124.5</v>
      </c>
      <c r="E25" s="7">
        <f>+(-C25+D25)*100/C25</f>
        <v>24.37562437562438</v>
      </c>
    </row>
    <row r="26" spans="1:7" ht="17.100000000000001" customHeight="1" x14ac:dyDescent="0.25">
      <c r="A26" s="10" t="s">
        <v>17</v>
      </c>
      <c r="B26" s="10" t="s">
        <v>17</v>
      </c>
      <c r="C26" s="11">
        <v>108.3</v>
      </c>
      <c r="D26" s="11">
        <v>141.4</v>
      </c>
      <c r="E26" s="12">
        <f>+(-C26+D26)*100/C26</f>
        <v>30.563250230840268</v>
      </c>
    </row>
  </sheetData>
  <phoneticPr fontId="0" type="noConversion"/>
  <printOptions horizontalCentered="1"/>
  <pageMargins left="0.51181102362204722" right="0.51181102362204722" top="0.94488188976377963" bottom="0.39370078740157483" header="0.31496062992125984" footer="0.31496062992125984"/>
  <pageSetup paperSize="9" scale="85" orientation="portrait" r:id="rId1"/>
  <headerFooter>
    <oddHeader xml:space="preserve">&amp;LRegion Hovedstaden 
Koncernindkøb
22. august 2025
 </oddHead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2</vt:i4>
      </vt:variant>
      <vt:variant>
        <vt:lpstr>Navngivne områder</vt:lpstr>
      </vt:variant>
      <vt:variant>
        <vt:i4>1</vt:i4>
      </vt:variant>
    </vt:vector>
  </HeadingPairs>
  <TitlesOfParts>
    <vt:vector size="3" baseType="lpstr">
      <vt:lpstr>Prisudvikling</vt:lpstr>
      <vt:lpstr>Ark3</vt:lpstr>
      <vt:lpstr>Prisudvikling!Udskriftstitler</vt:lpstr>
    </vt:vector>
  </TitlesOfParts>
  <Company>Esbjerg Kommune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piab</dc:creator>
  <cp:lastModifiedBy>Clara Marie Ellehøj Mühlhausen</cp:lastModifiedBy>
  <cp:lastPrinted>2025-06-18T14:46:43Z</cp:lastPrinted>
  <dcterms:created xsi:type="dcterms:W3CDTF">2010-09-15T07:08:18Z</dcterms:created>
  <dcterms:modified xsi:type="dcterms:W3CDTF">2025-09-08T09:21:17Z</dcterms:modified>
</cp:coreProperties>
</file>